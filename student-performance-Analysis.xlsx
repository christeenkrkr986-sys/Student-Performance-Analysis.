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5" activeTab="9"/>
  </bookViews>
  <sheets>
    <sheet name="student_data" sheetId="1" r:id="rId1"/>
    <sheet name="subject  &amp; total" sheetId="2" r:id="rId2"/>
    <sheet name="department &amp; total" sheetId="3" r:id="rId3"/>
    <sheet name="name &amp; pass rate" sheetId="5" r:id="rId4"/>
    <sheet name="Ahmed (2)" sheetId="16" r:id="rId5"/>
    <sheet name="Mona (2)" sheetId="15" r:id="rId6"/>
    <sheet name="Omar (2)" sheetId="14" r:id="rId7"/>
    <sheet name="Sara (2)" sheetId="13" r:id="rId8"/>
    <sheet name="Youssef (2)" sheetId="12" r:id="rId9"/>
    <sheet name="Dashboard" sheetId="17" r:id="rId10"/>
  </sheets>
  <definedNames>
    <definedName name="Slicer_Math">#N/A</definedName>
    <definedName name="Slicer_English">#N/A</definedName>
    <definedName name="Slicer_Science">#N/A</definedName>
    <definedName name="Slicer_Department">#N/A</definedName>
    <definedName name="Slicer_Total1">#N/A</definedName>
    <definedName name="Slicer_pass_rate">#N/A</definedName>
    <definedName name="Slicer_Name2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<sst xmlns="http://schemas.openxmlformats.org/spreadsheetml/2006/main" count="126" uniqueCount="36">
  <si>
    <t>Student ID</t>
  </si>
  <si>
    <t>Name</t>
  </si>
  <si>
    <t>Department</t>
  </si>
  <si>
    <t>Math</t>
  </si>
  <si>
    <t>English</t>
  </si>
  <si>
    <t>Science</t>
  </si>
  <si>
    <t>Total</t>
  </si>
  <si>
    <t>Status</t>
  </si>
  <si>
    <t>pass rate</t>
  </si>
  <si>
    <t>GPA</t>
  </si>
  <si>
    <t>Youssef</t>
  </si>
  <si>
    <t>IS</t>
  </si>
  <si>
    <t>Pass</t>
  </si>
  <si>
    <t>A</t>
  </si>
  <si>
    <t>Mona</t>
  </si>
  <si>
    <t>CS</t>
  </si>
  <si>
    <t>Fail</t>
  </si>
  <si>
    <t>F</t>
  </si>
  <si>
    <t>Omar</t>
  </si>
  <si>
    <t>IT</t>
  </si>
  <si>
    <t>D</t>
  </si>
  <si>
    <t>Sara</t>
  </si>
  <si>
    <t>C</t>
  </si>
  <si>
    <t>Ahmed</t>
  </si>
  <si>
    <t>B</t>
  </si>
  <si>
    <t>Sum of Total</t>
  </si>
  <si>
    <t>Grand Total</t>
  </si>
  <si>
    <t>Sum of pass rate</t>
  </si>
  <si>
    <t>(ALL)</t>
  </si>
  <si>
    <t>Dashboard</t>
  </si>
  <si>
    <t>Average score</t>
  </si>
  <si>
    <t>Max score</t>
  </si>
  <si>
    <t>Student statment revealed</t>
  </si>
  <si>
    <t>Min score</t>
  </si>
  <si>
    <t>Pass Rate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</si>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</sst>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6">
    <font>
      <sz val="11"/>
      <color theme="1"/>
      <name val="Calibri"/>
      <charset val="134"/>
      <scheme val="minor"/>
    </font>
    <font>
      <b/>
      <i/>
      <u/>
      <sz val="20"/>
      <color theme="0"/>
      <name val="Calibri"/>
      <charset val="134"/>
      <scheme val="minor"/>
    </font>
    <font>
      <sz val="22"/>
      <color theme="0"/>
      <name val="Calibri"/>
      <charset val="134"/>
      <scheme val="minor"/>
    </font>
    <font>
      <b/>
      <i/>
      <u val="double"/>
      <sz val="22"/>
      <color theme="0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9" fontId="0" fillId="0" borderId="0" xfId="3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5" fillId="2" borderId="1" xfId="0" applyFont="1" applyFill="1" applyBorder="1" applyAlignment="1"/>
    <xf numFmtId="178" fontId="5" fillId="2" borderId="1" xfId="0" applyNumberFormat="1" applyFont="1" applyFill="1" applyBorder="1" applyAlignment="1"/>
    <xf numFmtId="9" fontId="5" fillId="2" borderId="0" xfId="0" applyNumberFormat="1" applyFont="1" applyFill="1">
      <alignment vertical="center"/>
    </xf>
    <xf numFmtId="0" fontId="5" fillId="2" borderId="1" xfId="0" applyFont="1" applyFill="1" applyBorder="1">
      <alignment vertical="center"/>
    </xf>
    <xf numFmtId="0" fontId="6" fillId="0" borderId="1" xfId="0" applyFont="1" applyFill="1" applyBorder="1" applyAlignment="1"/>
    <xf numFmtId="178" fontId="6" fillId="0" borderId="1" xfId="0" applyNumberFormat="1" applyFont="1" applyFill="1" applyBorder="1" applyAlignment="1"/>
    <xf numFmtId="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numFmt numFmtId="179" formatCode="0.00_);[Red]\(0.00\)"/>
    </dxf>
    <dxf>
      <numFmt numFmtId="180" formatCode="0.00_);[Red]\(0.00\)"/>
    </dxf>
    <dxf>
      <numFmt numFmtId="181" formatCode="0.0_);[Red]\(0.0\)"/>
    </dxf>
    <dxf>
      <numFmt numFmtId="182" formatCode="0.0_);[Red]\(0.0\)"/>
    </dxf>
    <dxf>
      <numFmt numFmtId="178" formatCode="0_);[Red]\(0\)"/>
    </dxf>
    <dxf>
      <numFmt numFmtId="178" formatCode="0_);[Red]\(0\)"/>
    </dxf>
    <dxf>
      <font>
        <family val="2"/>
        <sz val="14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sz val="14"/>
      </font>
      <numFmt numFmtId="178" formatCode="0_);[Red]\(0\)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sz val="14"/>
      </font>
      <numFmt numFmtId="178" formatCode="0_);[Red]\(0\)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sz val="14"/>
      </font>
      <numFmt numFmtId="178" formatCode="0_);[Red]\(0\)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family val="2"/>
        <sz val="14"/>
      </font>
      <numFmt numFmtId="178" formatCode="0_);[Red]\(0\)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dashboard2.xlsx]subject  &amp; total!subject &amp; total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average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 &amp; total'!$D$1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'subject  &amp; total'!$A$2:$C$17</c:f>
              <c:multiLvlStrCache>
                <c:ptCount val="5"/>
                <c:lvl>
                  <c:pt idx="0">
                    <c:v>40 </c:v>
                  </c:pt>
                  <c:pt idx="1">
                    <c:v>55 </c:v>
                  </c:pt>
                  <c:pt idx="2">
                    <c:v>85 </c:v>
                  </c:pt>
                  <c:pt idx="3">
                    <c:v>70 </c:v>
                  </c:pt>
                  <c:pt idx="4">
                    <c:v>95 </c:v>
                  </c:pt>
                </c:lvl>
                <c:lvl>
                  <c:pt idx="0">
                    <c:v>45 </c:v>
                  </c:pt>
                  <c:pt idx="1">
                    <c:v>65 </c:v>
                  </c:pt>
                  <c:pt idx="2">
                    <c:v>90 </c:v>
                  </c:pt>
                  <c:pt idx="3">
                    <c:v>75 </c:v>
                  </c:pt>
                  <c:pt idx="4">
                    <c:v>96 </c:v>
                  </c:pt>
                </c:lvl>
                <c:lvl>
                  <c:pt idx="0">
                    <c:v>50 </c:v>
                  </c:pt>
                  <c:pt idx="1">
                    <c:v>60 </c:v>
                  </c:pt>
                  <c:pt idx="2">
                    <c:v>78 </c:v>
                  </c:pt>
                  <c:pt idx="3">
                    <c:v>88 </c:v>
                  </c:pt>
                  <c:pt idx="4">
                    <c:v>92 </c:v>
                  </c:pt>
                </c:lvl>
              </c:multiLvlStrCache>
            </c:multiLvlStrRef>
          </c:cat>
          <c:val>
            <c:numRef>
              <c:f>'subject  &amp; total'!$D$2:$D$17</c:f>
              <c:numCache>
                <c:formatCode>General</c:formatCode>
                <c:ptCount val="5"/>
                <c:pt idx="0">
                  <c:v>135</c:v>
                </c:pt>
                <c:pt idx="1">
                  <c:v>180</c:v>
                </c:pt>
                <c:pt idx="2">
                  <c:v>253</c:v>
                </c:pt>
                <c:pt idx="3">
                  <c:v>233</c:v>
                </c:pt>
                <c:pt idx="4">
                  <c:v>283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87840320"/>
        <c:axId val="586035638"/>
      </c:barChart>
      <c:catAx>
        <c:axId val="88784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035638"/>
        <c:crosses val="autoZero"/>
        <c:auto val="1"/>
        <c:lblAlgn val="ctr"/>
        <c:lblOffset val="100"/>
        <c:noMultiLvlLbl val="0"/>
      </c:catAx>
      <c:valAx>
        <c:axId val="586035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dashboard2.xlsx]department &amp; total!department &amp; total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department &amp; total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'department &amp; total'!$B$1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total'!$A$2:$A$5</c:f>
              <c:strCache>
                <c:ptCount val="3"/>
                <c:pt idx="0">
                  <c:v>CS</c:v>
                </c:pt>
                <c:pt idx="1">
                  <c:v>IS</c:v>
                </c:pt>
                <c:pt idx="2">
                  <c:v>IT</c:v>
                </c:pt>
              </c:strCache>
            </c:strRef>
          </c:cat>
          <c:val>
            <c:numRef>
              <c:f>'department &amp; total'!$B$2:$B$5</c:f>
              <c:numCache>
                <c:formatCode>0_);[Red]\(0\)</c:formatCode>
                <c:ptCount val="3"/>
                <c:pt idx="0">
                  <c:v>388</c:v>
                </c:pt>
                <c:pt idx="1">
                  <c:v>516</c:v>
                </c:pt>
                <c:pt idx="2">
                  <c:v>180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dashboard2.xlsx]name &amp; pass rate!name &amp; pass rate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name &amp; pass rate</a:t>
            </a:r>
          </a:p>
        </c:rich>
      </c:tx>
      <c:layout>
        <c:manualLayout>
          <c:xMode val="edge"/>
          <c:yMode val="edge"/>
          <c:x val="0.342171052631579"/>
          <c:y val="0.12433433665200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'name &amp; pass rate'!$B$1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'name &amp; pass rate'!$A$2:$A$7</c:f>
              <c:strCache>
                <c:ptCount val="5"/>
                <c:pt idx="0">
                  <c:v>Ahmed</c:v>
                </c:pt>
                <c:pt idx="1">
                  <c:v>Mona</c:v>
                </c:pt>
                <c:pt idx="2">
                  <c:v>Omar</c:v>
                </c:pt>
                <c:pt idx="3">
                  <c:v>Sara</c:v>
                </c:pt>
                <c:pt idx="4">
                  <c:v>Youssef</c:v>
                </c:pt>
              </c:strCache>
            </c:strRef>
          </c:cat>
          <c:val>
            <c:numRef>
              <c:f>'name &amp; pass rate'!$B$2:$B$7</c:f>
              <c:numCache>
                <c:formatCode>General</c:formatCode>
                <c:ptCount val="5"/>
                <c:pt idx="0">
                  <c:v>0.843333333333333</c:v>
                </c:pt>
                <c:pt idx="1">
                  <c:v>0.45</c:v>
                </c:pt>
                <c:pt idx="2">
                  <c:v>0.6</c:v>
                </c:pt>
                <c:pt idx="3">
                  <c:v>0.776666666666667</c:v>
                </c:pt>
                <c:pt idx="4">
                  <c:v>0.943333333333333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dashboard2.xlsx]Ahmed (2)!ahmed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'Ahmed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'Ahmed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'Ahmed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'Ahmed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'Ahmed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'Ahmed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34241821"/>
        <c:axId val="104591241"/>
      </c:barChart>
      <c:catAx>
        <c:axId val="434241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91241"/>
        <c:crosses val="autoZero"/>
        <c:auto val="1"/>
        <c:lblAlgn val="ctr"/>
        <c:lblOffset val="100"/>
        <c:noMultiLvlLbl val="0"/>
      </c:catAx>
      <c:valAx>
        <c:axId val="104591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241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dashboard2.xlsx]Mona (2)!mona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'Mona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'Mona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'Mona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'Mona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'Mona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'Mona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98831347"/>
        <c:axId val="567602411"/>
      </c:barChart>
      <c:catAx>
        <c:axId val="9988313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602411"/>
        <c:crosses val="autoZero"/>
        <c:auto val="1"/>
        <c:lblAlgn val="ctr"/>
        <c:lblOffset val="100"/>
        <c:noMultiLvlLbl val="0"/>
      </c:catAx>
      <c:valAx>
        <c:axId val="567602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8313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dashboard2.xlsx]Omar (2)!omar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'Omar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'Omar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'Omar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'Omar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'Omar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'Omar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95283693"/>
        <c:axId val="991872447"/>
      </c:barChart>
      <c:catAx>
        <c:axId val="5952836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872447"/>
        <c:crosses val="autoZero"/>
        <c:auto val="1"/>
        <c:lblAlgn val="ctr"/>
        <c:lblOffset val="100"/>
        <c:noMultiLvlLbl val="0"/>
      </c:catAx>
      <c:valAx>
        <c:axId val="9918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2836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dashboard2.xlsx]Sara (2)!sara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'Sara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'Sara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'Sara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'Sara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'Sara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'Sara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7416750"/>
        <c:axId val="679786075"/>
      </c:barChart>
      <c:catAx>
        <c:axId val="2174167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786075"/>
        <c:crosses val="autoZero"/>
        <c:auto val="1"/>
        <c:lblAlgn val="ctr"/>
        <c:lblOffset val="100"/>
        <c:noMultiLvlLbl val="0"/>
      </c:catAx>
      <c:valAx>
        <c:axId val="679786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4167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dashboard2.xlsx]Youssef (2)!yousef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'Youssef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'Youssef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'Youssef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'Youssef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'Youssef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'Youssef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22931792"/>
        <c:axId val="997122141"/>
      </c:barChart>
      <c:catAx>
        <c:axId val="822931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22141"/>
        <c:crosses val="autoZero"/>
        <c:auto val="1"/>
        <c:lblAlgn val="ctr"/>
        <c:lblOffset val="100"/>
        <c:noMultiLvlLbl val="0"/>
      </c:catAx>
      <c:valAx>
        <c:axId val="9971221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93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dashboard2.xlsx]Ahmed (2)!ahmed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'Ahmed (2)'!$C$3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'Ahmed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'Ahmed (2)'!$C$4:$C$11</c:f>
              <c:numCache>
                <c:formatCode>General</c:formatCode>
                <c:ptCount val="5"/>
                <c:pt idx="0">
                  <c:v>135</c:v>
                </c:pt>
                <c:pt idx="1">
                  <c:v>283</c:v>
                </c:pt>
                <c:pt idx="2">
                  <c:v>253</c:v>
                </c:pt>
                <c:pt idx="3">
                  <c:v>233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'Ahmed (2)'!$D$3</c:f>
              <c:strCache>
                <c:ptCount val="1"/>
                <c:pt idx="0">
                  <c:v>Sum of 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'Ahmed (2)'!$A$4:$B$11</c:f>
              <c:multiLvlStrCache>
                <c:ptCount val="5"/>
                <c:lvl>
                  <c:pt idx="0">
                    <c:v>F</c:v>
                  </c:pt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  <c:pt idx="4">
                    <c:v>D</c:v>
                  </c:pt>
                </c:lvl>
                <c:lvl>
                  <c:pt idx="0">
                    <c:v>Fail</c:v>
                  </c:pt>
                  <c:pt idx="1">
                    <c:v>Pass</c:v>
                  </c:pt>
                </c:lvl>
              </c:multiLvlStrCache>
            </c:multiLvlStrRef>
          </c:cat>
          <c:val>
            <c:numRef>
              <c:f>'Ahmed (2)'!$D$4:$D$11</c:f>
              <c:numCache>
                <c:formatCode>General</c:formatCode>
                <c:ptCount val="5"/>
                <c:pt idx="0">
                  <c:v>0.45</c:v>
                </c:pt>
                <c:pt idx="1">
                  <c:v>0.943333333333333</c:v>
                </c:pt>
                <c:pt idx="2">
                  <c:v>0.843333333333333</c:v>
                </c:pt>
                <c:pt idx="3">
                  <c:v>0.776666666666667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34241821"/>
        <c:axId val="104591241"/>
      </c:barChart>
      <c:catAx>
        <c:axId val="434241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91241"/>
        <c:crosses val="autoZero"/>
        <c:auto val="1"/>
        <c:lblAlgn val="ctr"/>
        <c:lblOffset val="100"/>
        <c:noMultiLvlLbl val="0"/>
      </c:catAx>
      <c:valAx>
        <c:axId val="104591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241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4bfa3b-74ef-4502-95ac-15ee56a270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dashboard2.xlsx]name &amp; pass rate!name &amp; pass rate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name &amp; pass rate</a:t>
            </a:r>
          </a:p>
        </c:rich>
      </c:tx>
      <c:layout>
        <c:manualLayout>
          <c:xMode val="edge"/>
          <c:yMode val="edge"/>
          <c:x val="0.342171052631579"/>
          <c:y val="0.12433433665200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'name &amp; pass rate'!$B$1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'name &amp; pass rate'!$A$2:$A$7</c:f>
              <c:strCache>
                <c:ptCount val="5"/>
                <c:pt idx="0">
                  <c:v>Ahmed</c:v>
                </c:pt>
                <c:pt idx="1">
                  <c:v>Mona</c:v>
                </c:pt>
                <c:pt idx="2">
                  <c:v>Omar</c:v>
                </c:pt>
                <c:pt idx="3">
                  <c:v>Sara</c:v>
                </c:pt>
                <c:pt idx="4">
                  <c:v>Youssef</c:v>
                </c:pt>
              </c:strCache>
            </c:strRef>
          </c:cat>
          <c:val>
            <c:numRef>
              <c:f>'name &amp; pass rate'!$B$2:$B$7</c:f>
              <c:numCache>
                <c:formatCode>General</c:formatCode>
                <c:ptCount val="5"/>
                <c:pt idx="0">
                  <c:v>0.843333333333333</c:v>
                </c:pt>
                <c:pt idx="1">
                  <c:v>0.45</c:v>
                </c:pt>
                <c:pt idx="2">
                  <c:v>0.6</c:v>
                </c:pt>
                <c:pt idx="3">
                  <c:v>0.776666666666667</c:v>
                </c:pt>
                <c:pt idx="4">
                  <c:v>0.943333333333333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86013-f125-4f7e-a40a-a85c62db40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dashboard2.xlsx]department &amp; total!department &amp; total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department &amp; total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'department &amp; total'!$B$1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total'!$A$2:$A$5</c:f>
              <c:strCache>
                <c:ptCount val="3"/>
                <c:pt idx="0">
                  <c:v>CS</c:v>
                </c:pt>
                <c:pt idx="1">
                  <c:v>IS</c:v>
                </c:pt>
                <c:pt idx="2">
                  <c:v>IT</c:v>
                </c:pt>
              </c:strCache>
            </c:strRef>
          </c:cat>
          <c:val>
            <c:numRef>
              <c:f>'department &amp; total'!$B$2:$B$5</c:f>
              <c:numCache>
                <c:formatCode>0_);[Red]\(0\)</c:formatCode>
                <c:ptCount val="3"/>
                <c:pt idx="0">
                  <c:v>388</c:v>
                </c:pt>
                <c:pt idx="1">
                  <c:v>516</c:v>
                </c:pt>
                <c:pt idx="2">
                  <c:v>180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61fb3a-9572-4500-9005-8e056aa694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dashboard2.xlsx]subject  &amp; total!subject &amp; total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average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 &amp; total'!$D$1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'subject  &amp; total'!$A$2:$C$17</c:f>
              <c:multiLvlStrCache>
                <c:ptCount val="5"/>
                <c:lvl>
                  <c:pt idx="0">
                    <c:v>40 </c:v>
                  </c:pt>
                  <c:pt idx="1">
                    <c:v>55 </c:v>
                  </c:pt>
                  <c:pt idx="2">
                    <c:v>85 </c:v>
                  </c:pt>
                  <c:pt idx="3">
                    <c:v>70 </c:v>
                  </c:pt>
                  <c:pt idx="4">
                    <c:v>95 </c:v>
                  </c:pt>
                </c:lvl>
                <c:lvl>
                  <c:pt idx="0">
                    <c:v>45 </c:v>
                  </c:pt>
                  <c:pt idx="1">
                    <c:v>65 </c:v>
                  </c:pt>
                  <c:pt idx="2">
                    <c:v>90 </c:v>
                  </c:pt>
                  <c:pt idx="3">
                    <c:v>75 </c:v>
                  </c:pt>
                  <c:pt idx="4">
                    <c:v>96 </c:v>
                  </c:pt>
                </c:lvl>
                <c:lvl>
                  <c:pt idx="0">
                    <c:v>50 </c:v>
                  </c:pt>
                  <c:pt idx="1">
                    <c:v>60 </c:v>
                  </c:pt>
                  <c:pt idx="2">
                    <c:v>78 </c:v>
                  </c:pt>
                  <c:pt idx="3">
                    <c:v>88 </c:v>
                  </c:pt>
                  <c:pt idx="4">
                    <c:v>92 </c:v>
                  </c:pt>
                </c:lvl>
              </c:multiLvlStrCache>
            </c:multiLvlStrRef>
          </c:cat>
          <c:val>
            <c:numRef>
              <c:f>'subject  &amp; total'!$D$2:$D$17</c:f>
              <c:numCache>
                <c:formatCode>General</c:formatCode>
                <c:ptCount val="5"/>
                <c:pt idx="0">
                  <c:v>135</c:v>
                </c:pt>
                <c:pt idx="1">
                  <c:v>180</c:v>
                </c:pt>
                <c:pt idx="2">
                  <c:v>253</c:v>
                </c:pt>
                <c:pt idx="3">
                  <c:v>233</c:v>
                </c:pt>
                <c:pt idx="4">
                  <c:v>283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87840320"/>
        <c:axId val="586035638"/>
      </c:barChart>
      <c:catAx>
        <c:axId val="88784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035638"/>
        <c:crosses val="autoZero"/>
        <c:auto val="1"/>
        <c:lblAlgn val="ctr"/>
        <c:lblOffset val="100"/>
        <c:noMultiLvlLbl val="0"/>
      </c:catAx>
      <c:valAx>
        <c:axId val="586035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7b2563-fb26-4641-8437-9d7b6f4a05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501650</xdr:colOff>
      <xdr:row>0</xdr:row>
      <xdr:rowOff>22225</xdr:rowOff>
    </xdr:from>
    <xdr:to>
      <xdr:col>19</xdr:col>
      <xdr:colOff>450850</xdr:colOff>
      <xdr:row>14</xdr:row>
      <xdr:rowOff>98425</xdr:rowOff>
    </xdr:to>
    <xdr:graphicFrame>
      <xdr:nvGraphicFramePr>
        <xdr:cNvPr id="2" name="Chart 1"/>
        <xdr:cNvGraphicFramePr/>
      </xdr:nvGraphicFramePr>
      <xdr:xfrm>
        <a:off x="7540625" y="22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717550</xdr:colOff>
      <xdr:row>0</xdr:row>
      <xdr:rowOff>635</xdr:rowOff>
    </xdr:from>
    <xdr:to>
      <xdr:col>6</xdr:col>
      <xdr:colOff>469900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a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207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444500</xdr:colOff>
      <xdr:row>0</xdr:row>
      <xdr:rowOff>53975</xdr:rowOff>
    </xdr:from>
    <xdr:to>
      <xdr:col>9</xdr:col>
      <xdr:colOff>444500</xdr:colOff>
      <xdr:row>12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Englis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lis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5475" y="53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485775</xdr:colOff>
      <xdr:row>0</xdr:row>
      <xdr:rowOff>47625</xdr:rowOff>
    </xdr:from>
    <xdr:to>
      <xdr:col>22</xdr:col>
      <xdr:colOff>485775</xdr:colOff>
      <xdr:row>12</xdr:row>
      <xdr:rowOff>136525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cie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cie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01550" y="47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479425</xdr:colOff>
      <xdr:row>0</xdr:row>
      <xdr:rowOff>635</xdr:rowOff>
    </xdr:from>
    <xdr:to>
      <xdr:col>25</xdr:col>
      <xdr:colOff>479425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ot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4000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311150</xdr:colOff>
      <xdr:row>0</xdr:row>
      <xdr:rowOff>107950</xdr:rowOff>
    </xdr:from>
    <xdr:to>
      <xdr:col>17</xdr:col>
      <xdr:colOff>260350</xdr:colOff>
      <xdr:row>14</xdr:row>
      <xdr:rowOff>184150</xdr:rowOff>
    </xdr:to>
    <xdr:graphicFrame>
      <xdr:nvGraphicFramePr>
        <xdr:cNvPr id="2" name="Chart 1"/>
        <xdr:cNvGraphicFramePr/>
      </xdr:nvGraphicFramePr>
      <xdr:xfrm>
        <a:off x="6407150" y="107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520700</xdr:colOff>
      <xdr:row>0</xdr:row>
      <xdr:rowOff>635</xdr:rowOff>
    </xdr:from>
    <xdr:to>
      <xdr:col>5</xdr:col>
      <xdr:colOff>520700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500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28575</xdr:colOff>
      <xdr:row>0</xdr:row>
      <xdr:rowOff>635</xdr:rowOff>
    </xdr:from>
    <xdr:to>
      <xdr:col>9</xdr:col>
      <xdr:colOff>28575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Tota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577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587375</xdr:colOff>
      <xdr:row>0</xdr:row>
      <xdr:rowOff>635</xdr:rowOff>
    </xdr:from>
    <xdr:to>
      <xdr:col>15</xdr:col>
      <xdr:colOff>536575</xdr:colOff>
      <xdr:row>14</xdr:row>
      <xdr:rowOff>76835</xdr:rowOff>
    </xdr:to>
    <xdr:graphicFrame>
      <xdr:nvGraphicFramePr>
        <xdr:cNvPr id="3" name="Chart 2"/>
        <xdr:cNvGraphicFramePr/>
      </xdr:nvGraphicFramePr>
      <xdr:xfrm>
        <a:off x="60642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41275</xdr:colOff>
      <xdr:row>0</xdr:row>
      <xdr:rowOff>635</xdr:rowOff>
    </xdr:from>
    <xdr:to>
      <xdr:col>4</xdr:col>
      <xdr:colOff>146050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32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158750</xdr:colOff>
      <xdr:row>0</xdr:row>
      <xdr:rowOff>53975</xdr:rowOff>
    </xdr:from>
    <xdr:to>
      <xdr:col>7</xdr:col>
      <xdr:colOff>158750</xdr:colOff>
      <xdr:row>12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ass r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ss r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6825" y="53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539750</xdr:colOff>
      <xdr:row>0</xdr:row>
      <xdr:rowOff>635</xdr:rowOff>
    </xdr:from>
    <xdr:to>
      <xdr:col>15</xdr:col>
      <xdr:colOff>488950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7975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444500</xdr:colOff>
      <xdr:row>0</xdr:row>
      <xdr:rowOff>12700</xdr:rowOff>
    </xdr:from>
    <xdr:to>
      <xdr:col>7</xdr:col>
      <xdr:colOff>444500</xdr:colOff>
      <xdr:row>12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3500" y="12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25400</xdr:colOff>
      <xdr:row>0</xdr:row>
      <xdr:rowOff>635</xdr:rowOff>
    </xdr:from>
    <xdr:to>
      <xdr:col>14</xdr:col>
      <xdr:colOff>584200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28320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53975</xdr:colOff>
      <xdr:row>0</xdr:row>
      <xdr:rowOff>98425</xdr:rowOff>
    </xdr:from>
    <xdr:to>
      <xdr:col>7</xdr:col>
      <xdr:colOff>53975</xdr:colOff>
      <xdr:row>12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2975" y="984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25400</xdr:colOff>
      <xdr:row>0</xdr:row>
      <xdr:rowOff>60325</xdr:rowOff>
    </xdr:from>
    <xdr:to>
      <xdr:col>14</xdr:col>
      <xdr:colOff>584200</xdr:colOff>
      <xdr:row>14</xdr:row>
      <xdr:rowOff>136525</xdr:rowOff>
    </xdr:to>
    <xdr:graphicFrame>
      <xdr:nvGraphicFramePr>
        <xdr:cNvPr id="2" name="Chart 1"/>
        <xdr:cNvGraphicFramePr/>
      </xdr:nvGraphicFramePr>
      <xdr:xfrm>
        <a:off x="5283200" y="6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3175</xdr:colOff>
      <xdr:row>0</xdr:row>
      <xdr:rowOff>60325</xdr:rowOff>
    </xdr:from>
    <xdr:to>
      <xdr:col>7</xdr:col>
      <xdr:colOff>3175</xdr:colOff>
      <xdr:row>12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2175" y="60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606425</xdr:colOff>
      <xdr:row>0</xdr:row>
      <xdr:rowOff>41275</xdr:rowOff>
    </xdr:from>
    <xdr:to>
      <xdr:col>14</xdr:col>
      <xdr:colOff>555625</xdr:colOff>
      <xdr:row>14</xdr:row>
      <xdr:rowOff>117475</xdr:rowOff>
    </xdr:to>
    <xdr:graphicFrame>
      <xdr:nvGraphicFramePr>
        <xdr:cNvPr id="2" name="Chart 1"/>
        <xdr:cNvGraphicFramePr/>
      </xdr:nvGraphicFramePr>
      <xdr:xfrm>
        <a:off x="5254625" y="41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25400</xdr:colOff>
      <xdr:row>0</xdr:row>
      <xdr:rowOff>31750</xdr:rowOff>
    </xdr:from>
    <xdr:to>
      <xdr:col>7</xdr:col>
      <xdr:colOff>25400</xdr:colOff>
      <xdr:row>12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4400" y="31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34925</xdr:colOff>
      <xdr:row>0</xdr:row>
      <xdr:rowOff>635</xdr:rowOff>
    </xdr:from>
    <xdr:to>
      <xdr:col>14</xdr:col>
      <xdr:colOff>593725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292725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15875</xdr:colOff>
      <xdr:row>0</xdr:row>
      <xdr:rowOff>635</xdr:rowOff>
    </xdr:from>
    <xdr:to>
      <xdr:col>7</xdr:col>
      <xdr:colOff>15875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87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4</xdr:row>
      <xdr:rowOff>19050</xdr:rowOff>
    </xdr:from>
    <xdr:to>
      <xdr:col>11</xdr:col>
      <xdr:colOff>45085</xdr:colOff>
      <xdr:row>13</xdr:row>
      <xdr:rowOff>48260</xdr:rowOff>
    </xdr:to>
    <xdr:graphicFrame>
      <xdr:nvGraphicFramePr>
        <xdr:cNvPr id="2" name="Chart 1"/>
        <xdr:cNvGraphicFramePr/>
      </xdr:nvGraphicFramePr>
      <xdr:xfrm>
        <a:off x="7915275" y="1304925"/>
        <a:ext cx="4302760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600075</xdr:colOff>
      <xdr:row>4</xdr:row>
      <xdr:rowOff>69850</xdr:rowOff>
    </xdr:from>
    <xdr:to>
      <xdr:col>8</xdr:col>
      <xdr:colOff>600075</xdr:colOff>
      <xdr:row>12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50" y="13557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4</xdr:row>
      <xdr:rowOff>0</xdr:rowOff>
    </xdr:from>
    <xdr:to>
      <xdr:col>21</xdr:col>
      <xdr:colOff>558800</xdr:colOff>
      <xdr:row>13</xdr:row>
      <xdr:rowOff>19685</xdr:rowOff>
    </xdr:to>
    <xdr:graphicFrame>
      <xdr:nvGraphicFramePr>
        <xdr:cNvPr id="5" name="Chart 4"/>
        <xdr:cNvGraphicFramePr/>
      </xdr:nvGraphicFramePr>
      <xdr:xfrm>
        <a:off x="14744700" y="1285875"/>
        <a:ext cx="4826000" cy="2496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603250</xdr:colOff>
      <xdr:row>4</xdr:row>
      <xdr:rowOff>9525</xdr:rowOff>
    </xdr:from>
    <xdr:to>
      <xdr:col>24</xdr:col>
      <xdr:colOff>603250</xdr:colOff>
      <xdr:row>12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ass rate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ss rate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15150" y="1295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571500</xdr:colOff>
      <xdr:row>15</xdr:row>
      <xdr:rowOff>9525</xdr:rowOff>
    </xdr:from>
    <xdr:to>
      <xdr:col>21</xdr:col>
      <xdr:colOff>596265</xdr:colOff>
      <xdr:row>29</xdr:row>
      <xdr:rowOff>171450</xdr:rowOff>
    </xdr:to>
    <xdr:graphicFrame>
      <xdr:nvGraphicFramePr>
        <xdr:cNvPr id="7" name="Chart 6"/>
        <xdr:cNvGraphicFramePr/>
      </xdr:nvGraphicFramePr>
      <xdr:xfrm>
        <a:off x="14706600" y="4152900"/>
        <a:ext cx="4901565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22225</xdr:colOff>
      <xdr:row>15</xdr:row>
      <xdr:rowOff>15875</xdr:rowOff>
    </xdr:from>
    <xdr:to>
      <xdr:col>25</xdr:col>
      <xdr:colOff>22225</xdr:colOff>
      <xdr:row>27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epartment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43725" y="41592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6350</xdr:colOff>
      <xdr:row>15</xdr:row>
      <xdr:rowOff>9525</xdr:rowOff>
    </xdr:from>
    <xdr:to>
      <xdr:col>28</xdr:col>
      <xdr:colOff>6350</xdr:colOff>
      <xdr:row>27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Total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56650" y="4152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561975</xdr:colOff>
      <xdr:row>31</xdr:row>
      <xdr:rowOff>171450</xdr:rowOff>
    </xdr:from>
    <xdr:to>
      <xdr:col>21</xdr:col>
      <xdr:colOff>596900</xdr:colOff>
      <xdr:row>46</xdr:row>
      <xdr:rowOff>85725</xdr:rowOff>
    </xdr:to>
    <xdr:graphicFrame>
      <xdr:nvGraphicFramePr>
        <xdr:cNvPr id="10" name="Chart 9"/>
        <xdr:cNvGraphicFramePr/>
      </xdr:nvGraphicFramePr>
      <xdr:xfrm>
        <a:off x="14697075" y="7362825"/>
        <a:ext cx="491172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7.7948263889" refreshedBy="krkr" recordCount="5">
  <cacheSource type="worksheet">
    <worksheetSource name="student_data"/>
  </cacheSource>
  <cacheFields count="10">
    <cacheField name="Student ID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Name" numFmtId="0">
      <sharedItems count="5">
        <s v="Youssef"/>
        <s v="Mona"/>
        <s v="Omar"/>
        <s v="Sara"/>
        <s v="Ahmed"/>
      </sharedItems>
    </cacheField>
    <cacheField name="Department" numFmtId="0">
      <sharedItems count="3">
        <s v="IS"/>
        <s v="CS"/>
        <s v="IT"/>
      </sharedItems>
    </cacheField>
    <cacheField name="Math" numFmtId="178">
      <sharedItems containsSemiMixedTypes="0" containsString="0" containsNumber="1" containsInteger="1" minValue="40" maxValue="95" count="5">
        <n v="95"/>
        <n v="40"/>
        <n v="55"/>
        <n v="70"/>
        <n v="85"/>
      </sharedItems>
    </cacheField>
    <cacheField name="English" numFmtId="178">
      <sharedItems containsSemiMixedTypes="0" containsString="0" containsNumber="1" containsInteger="1" minValue="50" maxValue="92" count="5">
        <n v="92"/>
        <n v="50"/>
        <n v="60"/>
        <n v="88"/>
        <n v="78"/>
      </sharedItems>
    </cacheField>
    <cacheField name="Science" numFmtId="178">
      <sharedItems containsSemiMixedTypes="0" containsString="0" containsNumber="1" containsInteger="1" minValue="45" maxValue="96" count="5">
        <n v="96"/>
        <n v="45"/>
        <n v="65"/>
        <n v="75"/>
        <n v="90"/>
      </sharedItems>
    </cacheField>
    <cacheField name="Total" numFmtId="178">
      <sharedItems containsSemiMixedTypes="0" containsString="0" containsNumber="1" containsInteger="1" minValue="135" maxValue="283" count="5">
        <n v="283"/>
        <n v="135"/>
        <n v="180"/>
        <n v="233"/>
        <n v="253"/>
      </sharedItems>
    </cacheField>
    <cacheField name="Status" numFmtId="0">
      <sharedItems count="2">
        <s v="Pass"/>
        <s v="Fail"/>
      </sharedItems>
    </cacheField>
    <cacheField name="pass rate" numFmtId="9">
      <sharedItems containsSemiMixedTypes="0" containsString="0" containsNumber="1" minValue="0.45" maxValue="0.943333333333333" count="5">
        <n v="0.943333333333333"/>
        <n v="0.45"/>
        <n v="0.6"/>
        <n v="0.776666666666667"/>
        <n v="0.843333333333333"/>
      </sharedItems>
    </cacheField>
    <cacheField name="GPA" numFmtId="0">
      <sharedItems count="5">
        <s v="A"/>
        <s v="F"/>
        <s v="D"/>
        <s v="C"/>
        <s v="B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0"/>
    <x v="2"/>
    <x v="2"/>
  </r>
  <r>
    <x v="3"/>
    <x v="3"/>
    <x v="0"/>
    <x v="3"/>
    <x v="3"/>
    <x v="3"/>
    <x v="3"/>
    <x v="0"/>
    <x v="3"/>
    <x v="3"/>
  </r>
  <r>
    <x v="4"/>
    <x v="4"/>
    <x v="1"/>
    <x v="4"/>
    <x v="4"/>
    <x v="4"/>
    <x v="4"/>
    <x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bject &amp; tota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17" firstHeaderRow="1" firstDataRow="1" firstDataCol="3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numFmtId="178" showAll="0">
      <items count="6">
        <item x="1"/>
        <item x="2"/>
        <item x="4"/>
        <item x="3"/>
        <item x="0"/>
        <item t="default"/>
      </items>
    </pivotField>
    <pivotField axis="axisRow"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9" showAll="0">
      <items count="6">
        <item x="1"/>
        <item x="2"/>
        <item x="3"/>
        <item x="4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</pivotFields>
  <rowFields count="3">
    <field x="4"/>
    <field x="5"/>
    <field x="3"/>
  </rowFields>
  <rowItems count="16">
    <i>
      <x/>
    </i>
    <i r="1">
      <x/>
    </i>
    <i r="2">
      <x/>
    </i>
    <i>
      <x v="1"/>
    </i>
    <i r="1">
      <x v="1"/>
    </i>
    <i r="2">
      <x v="1"/>
    </i>
    <i>
      <x v="2"/>
    </i>
    <i r="1">
      <x v="3"/>
    </i>
    <i r="2">
      <x v="3"/>
    </i>
    <i>
      <x v="3"/>
    </i>
    <i r="1">
      <x v="2"/>
    </i>
    <i r="2">
      <x v="2"/>
    </i>
    <i>
      <x v="4"/>
    </i>
    <i r="1">
      <x v="4"/>
    </i>
    <i r="2">
      <x v="4"/>
    </i>
    <i t="grand">
      <x/>
    </i>
  </rowItems>
  <colItems count="1">
    <i/>
  </colItems>
  <dataFields count="1">
    <dataField name="Sum of Total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department &amp; tota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" firstHeaderRow="1" firstDataRow="1" firstDataCol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compact="0" showAll="0">
      <items count="6">
        <item x="4"/>
        <item x="1"/>
        <item x="2"/>
        <item x="3"/>
        <item x="0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9" showAll="0">
      <items count="6">
        <item x="1"/>
        <item x="2"/>
        <item x="3"/>
        <item x="4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6" baseField="0" baseItem="0"/>
  </dataFields>
  <formats count="6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  <format dxfId="4">
      <pivotArea dataOnly="0" axis="axisValues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name &amp; pass rat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B7" firstHeaderRow="1" firstDataRow="1" firstDataCol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Row"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hmed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compact="0" indent="0" outline="1" compactData="0" outlineData="1" showDrill="1" multipleFieldFilters="0" chartFormat="4">
  <location ref="A3:D11" firstHeaderRow="0" firstDataRow="1" firstDataCol="2" rowPageCount="1" colPageCount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Page" compact="0" multipleItemSelectionAllowed="1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</pivotFields>
  <rowFields count="2">
    <field x="7"/>
    <field x="9"/>
  </rowFields>
  <rowItems count="8">
    <i>
      <x/>
    </i>
    <i r="1">
      <x v="4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Sum of Total" fld="6" baseField="0" baseItem="0"/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na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compact="0" indent="0" outline="1" compactData="0" outlineData="1" showDrill="1" multipleFieldFilters="0" chartFormat="4">
  <location ref="A3:D11" firstHeaderRow="0" firstDataRow="1" firstDataCol="2" rowPageCount="1" colPageCount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Page"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</pivotFields>
  <rowFields count="2">
    <field x="7"/>
    <field x="9"/>
  </rowFields>
  <rowItems count="8">
    <i>
      <x/>
    </i>
    <i r="1">
      <x v="4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Sum of Total" fld="6" baseField="0" baseItem="0"/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omar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compact="0" indent="0" outline="1" compactData="0" outlineData="1" showDrill="1" multipleFieldFilters="0" chartFormat="2">
  <location ref="A3:D11" firstHeaderRow="0" firstDataRow="1" firstDataCol="2" rowPageCount="1" colPageCount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Page"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</pivotFields>
  <rowFields count="2">
    <field x="7"/>
    <field x="9"/>
  </rowFields>
  <rowItems count="8">
    <i>
      <x/>
    </i>
    <i r="1">
      <x v="4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Sum of Total" fld="6" baseField="0" baseItem="0"/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sara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compact="0" indent="0" outline="1" compactData="0" outlineData="1" showDrill="1" multipleFieldFilters="0" chartFormat="2">
  <location ref="A3:D11" firstHeaderRow="0" firstDataRow="1" firstDataCol="2" rowPageCount="1" colPageCount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Page" compact="0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</pivotFields>
  <rowFields count="2">
    <field x="7"/>
    <field x="9"/>
  </rowFields>
  <rowItems count="8">
    <i>
      <x/>
    </i>
    <i r="1">
      <x v="4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Sum of Total" fld="6" baseField="0" baseItem="0"/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yousef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compact="0" indent="0" outline="1" compactData="0" outlineData="1" showDrill="1" multipleFieldFilters="0" chartFormat="2">
  <location ref="A3:D11" firstHeaderRow="0" firstDataRow="1" firstDataCol="2" rowPageCount="1" colPageCount="1"/>
  <pivotFields count="10">
    <pivotField compact="0" showAll="0">
      <items count="6">
        <item x="4"/>
        <item x="3"/>
        <item x="2"/>
        <item x="1"/>
        <item x="0"/>
        <item t="default"/>
      </items>
    </pivotField>
    <pivotField axis="axisPage" compact="0" multipleItemSelectionAllowed="1" showAll="0">
      <items count="6">
        <item x="4"/>
        <item x="1"/>
        <item x="2"/>
        <item x="3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compact="0" numFmtId="178" showAll="0">
      <items count="6">
        <item x="1"/>
        <item x="2"/>
        <item x="4"/>
        <item x="3"/>
        <item x="0"/>
        <item t="default"/>
      </items>
    </pivotField>
    <pivotField compact="0" numFmtId="178" showAll="0">
      <items count="6">
        <item x="1"/>
        <item x="2"/>
        <item x="3"/>
        <item x="4"/>
        <item x="0"/>
        <item t="default"/>
      </items>
    </pivotField>
    <pivotField dataField="1" compact="0" numFmtId="178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numFmtId="9" showAll="0">
      <items count="6">
        <item x="1"/>
        <item x="2"/>
        <item x="3"/>
        <item x="4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</pivotFields>
  <rowFields count="2">
    <field x="7"/>
    <field x="9"/>
  </rowFields>
  <rowItems count="8">
    <i>
      <x/>
    </i>
    <i r="1">
      <x v="4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Sum of Total" fld="6" baseField="0" baseItem="0"/>
    <dataField name="Sum of pass rat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th" sourceName="Math">
  <pivotTables>
    <pivotTable tabId="2" name="subject &amp; total"/>
  </pivotTables>
  <data>
    <tabular pivotCacheId="1">
      <items count="5">
        <i x="1" s="1"/>
        <i x="2" s="1"/>
        <i x="3" s="1"/>
        <i x="4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nglish" sourceName="English">
  <pivotTables>
    <pivotTable tabId="2" name="subject &amp; total"/>
    <pivotTable tabId="3" name="department &amp; total"/>
  </pivotTables>
  <data>
    <tabular pivotCacheId="1">
      <items count="5">
        <i x="1" s="1"/>
        <i x="2" s="1"/>
        <i x="4" s="1"/>
        <i x="3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ience" sourceName="Science">
  <pivotTables>
    <pivotTable tabId="2" name="subject &amp; total"/>
  </pivotTables>
  <data>
    <tabular pivotCacheId="1">
      <items count="5">
        <i x="1" s="1"/>
        <i x="2" s="1"/>
        <i x="3" s="1"/>
        <i x="4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department &amp; total"/>
    <pivotTable tabId="2" name="subject &amp; total"/>
    <pivotTable tabId="5" name="name &amp; pass rate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1" sourceName="Total">
  <pivotTables>
    <pivotTable tabId="3" name="department &amp; total"/>
    <pivotTable tabId="2" name="subject &amp; total"/>
    <pivotTable tabId="5" name="name &amp; pass rate"/>
    <pivotTable tabId="12" name="yousef"/>
    <pivotTable tabId="13" name="sara"/>
    <pivotTable tabId="14" name="omar"/>
    <pivotTable tabId="15" name="mona"/>
    <pivotTable tabId="16" name="ahmed"/>
  </pivotTables>
  <data>
    <tabular pivotCacheId="1">
      <items count="5">
        <i x="1" s="1"/>
        <i x="2" s="1"/>
        <i x="3" s="1"/>
        <i x="4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ss_rate" sourceName="pass rate">
  <pivotTables>
    <pivotTable tabId="5" name="name &amp; pass rate"/>
    <pivotTable tabId="2" name="subject &amp; total"/>
    <pivotTable tabId="3" name="department &amp; total"/>
  </pivotTables>
  <data>
    <tabular pivotCacheId="1">
      <items count="5">
        <i x="1" s="1"/>
        <i x="2" s="1"/>
        <i x="3" s="1"/>
        <i x="4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ame2" sourceName="Name">
  <pivotTables>
    <pivotTable tabId="16" name="ahmed"/>
    <pivotTable tabId="2" name="subject &amp; total"/>
    <pivotTable tabId="3" name="department &amp; total"/>
    <pivotTable tabId="5" name="name &amp; pass rate"/>
    <pivotTable tabId="12" name="yousef"/>
    <pivotTable tabId="13" name="sara"/>
    <pivotTable tabId="14" name="omar"/>
    <pivotTable tabId="15" name="mona"/>
  </pivotTables>
  <data>
    <tabular pivotCacheId="1">
      <items count="5">
        <i x="4" s="1"/>
        <i x="1" s="1"/>
        <i x="2" s="1"/>
        <i x="3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th" cache="Slicer_Math" caption="Math" rowHeight="225425"/>
  <slicer name="English" cache="Slicer_English" caption="English" rowHeight="225425"/>
  <slicer name="Science" cache="Slicer_Science" caption="Science" rowHeight="225425"/>
  <slicer name="Total" cache="Slicer_Total1" caption="Total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  <slicer name="Total 1" cache="Slicer_Total1" caption="Total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" cache="Slicer_Name2" caption="Name" rowHeight="225425"/>
  <slicer name="pass rate" cache="Slicer_pass_rate" caption="pass rate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2" cache="Slicer_Name2" caption="Name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3" cache="Slicer_Name2" caption="Name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4" cache="Slicer_Name2" caption="Name" rowHeight="225425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5" cache="Slicer_Name2" caption="Name" rowHeight="225425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6" cache="Slicer_Name2" caption="Name" rowHeight="225425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7" cache="Slicer_Name2" caption="Name" rowHeight="225425"/>
  <slicer name="pass rate 8" cache="Slicer_pass_rate" caption="pass rate" rowHeight="225425"/>
  <slicer name="Department 9" cache="Slicer_Department" caption="Department" rowHeight="225425"/>
  <slicer name="Total 10" cache="Slicer_Total1" caption="Total" rowHeight="225425"/>
</slicers>
</file>

<file path=xl/tables/table1.xml><?xml version="1.0" encoding="utf-8"?>
<table xmlns="http://schemas.openxmlformats.org/spreadsheetml/2006/main" id="1" name="student_data" displayName="student_data" ref="A1:J6" totalsRowShown="0">
  <autoFilter xmlns:etc="http://www.wps.cn/officeDocument/2017/etCustomData" ref="A1:J6" etc:filterBottomFollowUsedRange="0"/>
  <sortState ref="A1:J6">
    <sortCondition ref="A2" descending="1"/>
  </sortState>
  <tableColumns count="10">
    <tableColumn id="1" name="Student ID" dataDxfId="6"/>
    <tableColumn id="2" name="Name" dataDxfId="7"/>
    <tableColumn id="3" name="Department" dataDxfId="8"/>
    <tableColumn id="4" name="Math" dataDxfId="9"/>
    <tableColumn id="5" name="English" dataDxfId="10"/>
    <tableColumn id="6" name="Science" dataDxfId="11"/>
    <tableColumn id="7" name="Total" dataDxfId="12"/>
    <tableColumn id="8" name="Status" dataDxfId="13"/>
    <tableColumn id="9" name="pass rate" dataDxfId="14">
      <calculatedColumnFormula>G2/300</calculatedColumnFormula>
    </tableColumn>
    <tableColumn id="10" name="GPA" dataDxfId="1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I5" sqref="A2:J6"/>
    </sheetView>
  </sheetViews>
  <sheetFormatPr defaultColWidth="9.14285714285714" defaultRowHeight="15" outlineLevelRow="5"/>
  <cols>
    <col min="1" max="1" width="16.2857142857143" customWidth="1"/>
    <col min="2" max="2" width="10.4285714285714" customWidth="1"/>
    <col min="3" max="3" width="18.2857142857143" customWidth="1"/>
    <col min="4" max="4" width="9" style="9" customWidth="1"/>
    <col min="5" max="5" width="11.1428571428571" style="9" customWidth="1"/>
    <col min="6" max="6" width="12.1428571428571" style="9" customWidth="1"/>
    <col min="7" max="7" width="10.2857142857143" style="9" customWidth="1"/>
    <col min="8" max="8" width="10" customWidth="1"/>
    <col min="9" max="9" width="13.8571428571429" style="10" customWidth="1"/>
    <col min="10" max="10" width="9.85714285714286" customWidth="1"/>
  </cols>
  <sheetData>
    <row r="1" ht="21" spans="1:10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3" t="s">
        <v>8</v>
      </c>
      <c r="J1" s="14" t="s">
        <v>9</v>
      </c>
    </row>
    <row r="2" ht="18.75" spans="1:10">
      <c r="A2" s="15">
        <v>5</v>
      </c>
      <c r="B2" s="15" t="s">
        <v>10</v>
      </c>
      <c r="C2" s="15" t="s">
        <v>11</v>
      </c>
      <c r="D2" s="16">
        <v>95</v>
      </c>
      <c r="E2" s="16">
        <v>92</v>
      </c>
      <c r="F2" s="16">
        <v>96</v>
      </c>
      <c r="G2" s="16">
        <v>283</v>
      </c>
      <c r="H2" s="15" t="s">
        <v>12</v>
      </c>
      <c r="I2" s="17">
        <f>G2/300</f>
        <v>0.943333333333333</v>
      </c>
      <c r="J2" s="18" t="s">
        <v>13</v>
      </c>
    </row>
    <row r="3" ht="18.75" spans="1:10">
      <c r="A3" s="15">
        <v>4</v>
      </c>
      <c r="B3" s="15" t="s">
        <v>14</v>
      </c>
      <c r="C3" s="15" t="s">
        <v>15</v>
      </c>
      <c r="D3" s="16">
        <v>40</v>
      </c>
      <c r="E3" s="16">
        <v>50</v>
      </c>
      <c r="F3" s="16">
        <v>45</v>
      </c>
      <c r="G3" s="16">
        <v>135</v>
      </c>
      <c r="H3" s="15" t="s">
        <v>16</v>
      </c>
      <c r="I3" s="17">
        <f>G3/300</f>
        <v>0.45</v>
      </c>
      <c r="J3" s="18" t="s">
        <v>17</v>
      </c>
    </row>
    <row r="4" ht="18.75" spans="1:10">
      <c r="A4" s="15">
        <v>3</v>
      </c>
      <c r="B4" s="15" t="s">
        <v>18</v>
      </c>
      <c r="C4" s="15" t="s">
        <v>19</v>
      </c>
      <c r="D4" s="16">
        <v>55</v>
      </c>
      <c r="E4" s="16">
        <v>60</v>
      </c>
      <c r="F4" s="16">
        <v>65</v>
      </c>
      <c r="G4" s="16">
        <v>180</v>
      </c>
      <c r="H4" s="15" t="s">
        <v>12</v>
      </c>
      <c r="I4" s="17">
        <f>G4/300</f>
        <v>0.6</v>
      </c>
      <c r="J4" s="18" t="s">
        <v>20</v>
      </c>
    </row>
    <row r="5" ht="18.75" spans="1:10">
      <c r="A5" s="15">
        <v>2</v>
      </c>
      <c r="B5" s="15" t="s">
        <v>21</v>
      </c>
      <c r="C5" s="15" t="s">
        <v>11</v>
      </c>
      <c r="D5" s="16">
        <v>70</v>
      </c>
      <c r="E5" s="16">
        <v>88</v>
      </c>
      <c r="F5" s="16">
        <v>75</v>
      </c>
      <c r="G5" s="16">
        <v>233</v>
      </c>
      <c r="H5" s="15" t="s">
        <v>12</v>
      </c>
      <c r="I5" s="17">
        <f>G5/300</f>
        <v>0.776666666666667</v>
      </c>
      <c r="J5" s="18" t="s">
        <v>22</v>
      </c>
    </row>
    <row r="6" ht="18.75" spans="1:10">
      <c r="A6" s="15">
        <v>1</v>
      </c>
      <c r="B6" s="15" t="s">
        <v>23</v>
      </c>
      <c r="C6" s="15" t="s">
        <v>15</v>
      </c>
      <c r="D6" s="16">
        <v>85</v>
      </c>
      <c r="E6" s="16">
        <v>78</v>
      </c>
      <c r="F6" s="16">
        <v>90</v>
      </c>
      <c r="G6" s="16">
        <v>253</v>
      </c>
      <c r="H6" s="15" t="s">
        <v>12</v>
      </c>
      <c r="I6" s="17">
        <f>G6/300</f>
        <v>0.843333333333333</v>
      </c>
      <c r="J6" s="18" t="s">
        <v>24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5" sqref="D5"/>
    </sheetView>
  </sheetViews>
  <sheetFormatPr defaultColWidth="9.14285714285714" defaultRowHeight="15" outlineLevelCol="3"/>
  <cols>
    <col min="1" max="1" width="12.1428571428571"/>
    <col min="2" max="3" width="8.28571428571429"/>
    <col min="4" max="4" width="12.8571428571429"/>
  </cols>
  <sheetData>
    <row r="1" spans="1:4">
      <c r="A1" t="s">
        <v>4</v>
      </c>
      <c r="B1" t="s">
        <v>5</v>
      </c>
      <c r="C1" t="s">
        <v>3</v>
      </c>
      <c r="D1" t="s">
        <v>25</v>
      </c>
    </row>
    <row r="2" spans="1:4">
      <c r="A2" s="9">
        <v>50</v>
      </c>
      <c r="B2"/>
      <c r="C2"/>
      <c r="D2">
        <v>135</v>
      </c>
    </row>
    <row r="3" spans="1:4">
      <c r="B3" s="9">
        <v>45</v>
      </c>
      <c r="C3"/>
      <c r="D3">
        <v>135</v>
      </c>
    </row>
    <row r="4" spans="1:4">
      <c r="C4" s="9">
        <v>40</v>
      </c>
      <c r="D4">
        <v>135</v>
      </c>
    </row>
    <row r="5" spans="1:4">
      <c r="A5" s="9">
        <v>60</v>
      </c>
      <c r="B5"/>
      <c r="C5"/>
      <c r="D5">
        <v>180</v>
      </c>
    </row>
    <row r="6" spans="1:4">
      <c r="B6" s="9">
        <v>65</v>
      </c>
      <c r="C6"/>
      <c r="D6">
        <v>180</v>
      </c>
    </row>
    <row r="7" spans="1:4">
      <c r="C7" s="9">
        <v>55</v>
      </c>
      <c r="D7">
        <v>180</v>
      </c>
    </row>
    <row r="8" spans="1:4">
      <c r="A8" s="9">
        <v>78</v>
      </c>
      <c r="B8"/>
      <c r="C8"/>
      <c r="D8">
        <v>253</v>
      </c>
    </row>
    <row r="9" spans="1:4">
      <c r="B9" s="9">
        <v>90</v>
      </c>
      <c r="C9"/>
      <c r="D9">
        <v>253</v>
      </c>
    </row>
    <row r="10" spans="1:4">
      <c r="C10" s="9">
        <v>85</v>
      </c>
      <c r="D10">
        <v>253</v>
      </c>
    </row>
    <row r="11" spans="1:4">
      <c r="A11" s="9">
        <v>88</v>
      </c>
      <c r="B11"/>
      <c r="C11"/>
      <c r="D11">
        <v>233</v>
      </c>
    </row>
    <row r="12" spans="1:4">
      <c r="B12" s="9">
        <v>75</v>
      </c>
      <c r="C12"/>
      <c r="D12">
        <v>233</v>
      </c>
    </row>
    <row r="13" spans="1:4">
      <c r="C13" s="9">
        <v>70</v>
      </c>
      <c r="D13">
        <v>233</v>
      </c>
    </row>
    <row r="14" spans="1:4">
      <c r="A14" s="9">
        <v>92</v>
      </c>
      <c r="B14"/>
      <c r="C14"/>
      <c r="D14">
        <v>283</v>
      </c>
    </row>
    <row r="15" spans="1:4">
      <c r="B15" s="9">
        <v>96</v>
      </c>
      <c r="C15"/>
      <c r="D15">
        <v>283</v>
      </c>
    </row>
    <row r="16" spans="1:4">
      <c r="C16" s="9">
        <v>95</v>
      </c>
      <c r="D16">
        <v>283</v>
      </c>
    </row>
    <row r="17" spans="1:4">
      <c r="A17" t="s">
        <v>26</v>
      </c>
      <c r="B17"/>
      <c r="C17"/>
      <c r="D17">
        <v>1084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.14285714285714" defaultRowHeight="15" outlineLevelRow="4" outlineLevelCol="1"/>
  <cols>
    <col min="1" max="1" width="14.5714285714286"/>
    <col min="2" max="2" width="12.8571428571429" style="9"/>
  </cols>
  <sheetData>
    <row r="1" spans="1:2">
      <c r="A1" t="s">
        <v>2</v>
      </c>
      <c r="B1" s="9" t="s">
        <v>25</v>
      </c>
    </row>
    <row r="2" spans="1:2">
      <c r="A2" t="s">
        <v>15</v>
      </c>
      <c r="B2" s="9">
        <v>388</v>
      </c>
    </row>
    <row r="3" spans="1:2">
      <c r="A3" t="s">
        <v>11</v>
      </c>
      <c r="B3" s="9">
        <v>516</v>
      </c>
    </row>
    <row r="4" spans="1:2">
      <c r="A4" t="s">
        <v>19</v>
      </c>
      <c r="B4" s="9">
        <v>180</v>
      </c>
    </row>
    <row r="5" spans="1:2">
      <c r="A5" t="s">
        <v>26</v>
      </c>
      <c r="B5" s="9">
        <v>1084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opLeftCell="D1" workbookViewId="0">
      <selection activeCell="B1" sqref="B$1:B$1048576"/>
    </sheetView>
  </sheetViews>
  <sheetFormatPr defaultColWidth="9.14285714285714" defaultRowHeight="15" outlineLevelRow="6" outlineLevelCol="2"/>
  <cols>
    <col min="1" max="1" width="12.1428571428571"/>
    <col min="2" max="3" width="16.7142857142857" style="6"/>
  </cols>
  <sheetData>
    <row r="1" spans="1:3">
      <c r="A1" t="s">
        <v>1</v>
      </c>
      <c r="B1" t="s">
        <v>27</v>
      </c>
      <c r="C1"/>
    </row>
    <row r="2" spans="1:3">
      <c r="A2" t="s">
        <v>23</v>
      </c>
      <c r="B2">
        <v>0.843333333333333</v>
      </c>
      <c r="C2"/>
    </row>
    <row r="3" spans="1:3">
      <c r="A3" t="s">
        <v>14</v>
      </c>
      <c r="B3">
        <v>0.45</v>
      </c>
      <c r="C3"/>
    </row>
    <row r="4" spans="1:3">
      <c r="A4" t="s">
        <v>18</v>
      </c>
      <c r="B4">
        <v>0.6</v>
      </c>
      <c r="C4"/>
    </row>
    <row r="5" spans="1:3">
      <c r="A5" t="s">
        <v>21</v>
      </c>
      <c r="B5">
        <v>0.776666666666667</v>
      </c>
      <c r="C5"/>
    </row>
    <row r="6" spans="1:3">
      <c r="A6" t="s">
        <v>10</v>
      </c>
      <c r="B6">
        <v>0.943333333333333</v>
      </c>
      <c r="C6"/>
    </row>
    <row r="7" spans="1:3">
      <c r="A7" t="s">
        <v>26</v>
      </c>
      <c r="B7">
        <v>3.61333333333333</v>
      </c>
      <c r="C7"/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D1" workbookViewId="0">
      <selection activeCell="D5" sqref="D5"/>
    </sheetView>
  </sheetViews>
  <sheetFormatPr defaultColWidth="9.14285714285714" defaultRowHeight="15" outlineLevelCol="3"/>
  <cols>
    <col min="2" max="2" width="9.42857142857143"/>
    <col min="3" max="3" width="16.4285714285714"/>
    <col min="4" max="4" width="16.4285714285714" style="6"/>
  </cols>
  <sheetData>
    <row r="1" spans="1:4">
      <c r="A1" t="s">
        <v>1</v>
      </c>
      <c r="B1" t="s">
        <v>28</v>
      </c>
    </row>
    <row r="3" spans="1:4">
      <c r="A3" s="7" t="s">
        <v>7</v>
      </c>
      <c r="B3" s="7" t="s">
        <v>9</v>
      </c>
      <c r="C3" s="8" t="s">
        <v>25</v>
      </c>
      <c r="D3" s="8" t="s">
        <v>27</v>
      </c>
    </row>
    <row r="4" spans="1:4">
      <c r="A4" s="7" t="s">
        <v>16</v>
      </c>
      <c r="B4" s="7"/>
      <c r="C4">
        <v>135</v>
      </c>
      <c r="D4">
        <v>0.45</v>
      </c>
    </row>
    <row r="5" spans="1:4">
      <c r="A5" s="7"/>
      <c r="B5" s="7" t="s">
        <v>17</v>
      </c>
      <c r="C5">
        <v>135</v>
      </c>
      <c r="D5">
        <v>0.45</v>
      </c>
    </row>
    <row r="6" spans="1:4">
      <c r="A6" s="7" t="s">
        <v>12</v>
      </c>
      <c r="B6" s="7"/>
      <c r="C6">
        <v>949</v>
      </c>
      <c r="D6">
        <v>3.16333333333333</v>
      </c>
    </row>
    <row r="7" spans="1:4">
      <c r="A7" s="7"/>
      <c r="B7" s="7" t="s">
        <v>13</v>
      </c>
      <c r="C7">
        <v>283</v>
      </c>
      <c r="D7">
        <v>0.943333333333333</v>
      </c>
    </row>
    <row r="8" spans="1:4">
      <c r="A8" s="7"/>
      <c r="B8" s="7" t="s">
        <v>24</v>
      </c>
      <c r="C8">
        <v>253</v>
      </c>
      <c r="D8">
        <v>0.843333333333333</v>
      </c>
    </row>
    <row r="9" spans="1:4">
      <c r="A9" s="7"/>
      <c r="B9" s="7" t="s">
        <v>22</v>
      </c>
      <c r="C9">
        <v>233</v>
      </c>
      <c r="D9">
        <v>0.776666666666667</v>
      </c>
    </row>
    <row r="10" spans="1:4">
      <c r="A10" s="7"/>
      <c r="B10" s="7" t="s">
        <v>20</v>
      </c>
      <c r="C10">
        <v>180</v>
      </c>
      <c r="D10">
        <v>0.6</v>
      </c>
    </row>
    <row r="11" spans="1:4">
      <c r="A11" s="7" t="s">
        <v>26</v>
      </c>
      <c r="B11" s="7"/>
      <c r="C11">
        <v>1084</v>
      </c>
      <c r="D11">
        <v>3.61333333333333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4" sqref="D4"/>
    </sheetView>
  </sheetViews>
  <sheetFormatPr defaultColWidth="9.14285714285714" defaultRowHeight="15" outlineLevelCol="3"/>
  <cols>
    <col min="2" max="2" width="9.42857142857143"/>
    <col min="3" max="3" width="16.4285714285714"/>
    <col min="4" max="4" width="16.4285714285714" style="6"/>
  </cols>
  <sheetData>
    <row r="1" spans="1:4">
      <c r="A1" t="s">
        <v>1</v>
      </c>
      <c r="B1" t="s">
        <v>28</v>
      </c>
    </row>
    <row r="3" spans="1:4">
      <c r="A3" s="7" t="s">
        <v>7</v>
      </c>
      <c r="B3" s="7" t="s">
        <v>9</v>
      </c>
      <c r="C3" s="8" t="s">
        <v>25</v>
      </c>
      <c r="D3" s="8" t="s">
        <v>27</v>
      </c>
    </row>
    <row r="4" spans="1:4">
      <c r="A4" s="7" t="s">
        <v>16</v>
      </c>
      <c r="B4" s="7"/>
      <c r="C4">
        <v>135</v>
      </c>
      <c r="D4">
        <v>0.45</v>
      </c>
    </row>
    <row r="5" spans="1:4">
      <c r="A5" s="7"/>
      <c r="B5" s="7" t="s">
        <v>17</v>
      </c>
      <c r="C5">
        <v>135</v>
      </c>
      <c r="D5">
        <v>0.45</v>
      </c>
    </row>
    <row r="6" spans="1:4">
      <c r="A6" s="7" t="s">
        <v>12</v>
      </c>
      <c r="B6" s="7"/>
      <c r="C6">
        <v>949</v>
      </c>
      <c r="D6">
        <v>3.16333333333333</v>
      </c>
    </row>
    <row r="7" spans="1:4">
      <c r="A7" s="7"/>
      <c r="B7" s="7" t="s">
        <v>13</v>
      </c>
      <c r="C7">
        <v>283</v>
      </c>
      <c r="D7">
        <v>0.943333333333333</v>
      </c>
    </row>
    <row r="8" spans="1:4">
      <c r="A8" s="7"/>
      <c r="B8" s="7" t="s">
        <v>24</v>
      </c>
      <c r="C8">
        <v>253</v>
      </c>
      <c r="D8">
        <v>0.843333333333333</v>
      </c>
    </row>
    <row r="9" spans="1:4">
      <c r="A9" s="7"/>
      <c r="B9" s="7" t="s">
        <v>22</v>
      </c>
      <c r="C9">
        <v>233</v>
      </c>
      <c r="D9">
        <v>0.776666666666667</v>
      </c>
    </row>
    <row r="10" spans="1:4">
      <c r="A10" s="7"/>
      <c r="B10" s="7" t="s">
        <v>20</v>
      </c>
      <c r="C10">
        <v>180</v>
      </c>
      <c r="D10">
        <v>0.6</v>
      </c>
    </row>
    <row r="11" spans="1:4">
      <c r="A11" s="7" t="s">
        <v>26</v>
      </c>
      <c r="B11" s="7"/>
      <c r="C11">
        <v>1084</v>
      </c>
      <c r="D11">
        <v>3.61333333333333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4" sqref="D4"/>
    </sheetView>
  </sheetViews>
  <sheetFormatPr defaultColWidth="9.14285714285714" defaultRowHeight="15" outlineLevelCol="3"/>
  <cols>
    <col min="2" max="2" width="9.42857142857143"/>
    <col min="3" max="3" width="16.4285714285714"/>
    <col min="4" max="4" width="16.4285714285714" style="6"/>
  </cols>
  <sheetData>
    <row r="1" spans="1:4">
      <c r="A1" t="s">
        <v>1</v>
      </c>
      <c r="B1" t="s">
        <v>28</v>
      </c>
    </row>
    <row r="3" spans="1:4">
      <c r="A3" s="7" t="s">
        <v>7</v>
      </c>
      <c r="B3" s="7" t="s">
        <v>9</v>
      </c>
      <c r="C3" s="8" t="s">
        <v>25</v>
      </c>
      <c r="D3" s="8" t="s">
        <v>27</v>
      </c>
    </row>
    <row r="4" spans="1:4">
      <c r="A4" s="7" t="s">
        <v>16</v>
      </c>
      <c r="B4" s="7"/>
      <c r="C4">
        <v>135</v>
      </c>
      <c r="D4">
        <v>0.45</v>
      </c>
    </row>
    <row r="5" spans="1:4">
      <c r="A5" s="7"/>
      <c r="B5" s="7" t="s">
        <v>17</v>
      </c>
      <c r="C5">
        <v>135</v>
      </c>
      <c r="D5">
        <v>0.45</v>
      </c>
    </row>
    <row r="6" spans="1:4">
      <c r="A6" s="7" t="s">
        <v>12</v>
      </c>
      <c r="B6" s="7"/>
      <c r="C6">
        <v>949</v>
      </c>
      <c r="D6">
        <v>3.16333333333333</v>
      </c>
    </row>
    <row r="7" spans="1:4">
      <c r="A7" s="7"/>
      <c r="B7" s="7" t="s">
        <v>13</v>
      </c>
      <c r="C7">
        <v>283</v>
      </c>
      <c r="D7">
        <v>0.943333333333333</v>
      </c>
    </row>
    <row r="8" spans="1:4">
      <c r="A8" s="7"/>
      <c r="B8" s="7" t="s">
        <v>24</v>
      </c>
      <c r="C8">
        <v>253</v>
      </c>
      <c r="D8">
        <v>0.843333333333333</v>
      </c>
    </row>
    <row r="9" spans="1:4">
      <c r="A9" s="7"/>
      <c r="B9" s="7" t="s">
        <v>22</v>
      </c>
      <c r="C9">
        <v>233</v>
      </c>
      <c r="D9">
        <v>0.776666666666667</v>
      </c>
    </row>
    <row r="10" spans="1:4">
      <c r="A10" s="7"/>
      <c r="B10" s="7" t="s">
        <v>20</v>
      </c>
      <c r="C10">
        <v>180</v>
      </c>
      <c r="D10">
        <v>0.6</v>
      </c>
    </row>
    <row r="11" spans="1:4">
      <c r="A11" s="7" t="s">
        <v>26</v>
      </c>
      <c r="B11" s="7"/>
      <c r="C11">
        <v>1084</v>
      </c>
      <c r="D11">
        <v>3.61333333333333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5" sqref="D5"/>
    </sheetView>
  </sheetViews>
  <sheetFormatPr defaultColWidth="9.14285714285714" defaultRowHeight="15" outlineLevelCol="3"/>
  <cols>
    <col min="2" max="2" width="9.42857142857143"/>
    <col min="3" max="3" width="16.4285714285714"/>
    <col min="4" max="4" width="16.4285714285714" style="6"/>
  </cols>
  <sheetData>
    <row r="1" spans="1:4">
      <c r="A1" t="s">
        <v>1</v>
      </c>
      <c r="B1" t="s">
        <v>28</v>
      </c>
    </row>
    <row r="3" spans="1:4">
      <c r="A3" s="7" t="s">
        <v>7</v>
      </c>
      <c r="B3" s="7" t="s">
        <v>9</v>
      </c>
      <c r="C3" s="8" t="s">
        <v>25</v>
      </c>
      <c r="D3" s="8" t="s">
        <v>27</v>
      </c>
    </row>
    <row r="4" spans="1:4">
      <c r="A4" s="7" t="s">
        <v>16</v>
      </c>
      <c r="B4" s="7"/>
      <c r="C4">
        <v>135</v>
      </c>
      <c r="D4">
        <v>0.45</v>
      </c>
    </row>
    <row r="5" spans="1:4">
      <c r="A5" s="7"/>
      <c r="B5" s="7" t="s">
        <v>17</v>
      </c>
      <c r="C5">
        <v>135</v>
      </c>
      <c r="D5">
        <v>0.45</v>
      </c>
    </row>
    <row r="6" spans="1:4">
      <c r="A6" s="7" t="s">
        <v>12</v>
      </c>
      <c r="B6" s="7"/>
      <c r="C6">
        <v>949</v>
      </c>
      <c r="D6">
        <v>3.16333333333333</v>
      </c>
    </row>
    <row r="7" spans="1:4">
      <c r="A7" s="7"/>
      <c r="B7" s="7" t="s">
        <v>13</v>
      </c>
      <c r="C7">
        <v>283</v>
      </c>
      <c r="D7">
        <v>0.943333333333333</v>
      </c>
    </row>
    <row r="8" spans="1:4">
      <c r="A8" s="7"/>
      <c r="B8" s="7" t="s">
        <v>24</v>
      </c>
      <c r="C8">
        <v>253</v>
      </c>
      <c r="D8">
        <v>0.843333333333333</v>
      </c>
    </row>
    <row r="9" spans="1:4">
      <c r="A9" s="7"/>
      <c r="B9" s="7" t="s">
        <v>22</v>
      </c>
      <c r="C9">
        <v>233</v>
      </c>
      <c r="D9">
        <v>0.776666666666667</v>
      </c>
    </row>
    <row r="10" spans="1:4">
      <c r="A10" s="7"/>
      <c r="B10" s="7" t="s">
        <v>20</v>
      </c>
      <c r="C10">
        <v>180</v>
      </c>
      <c r="D10">
        <v>0.6</v>
      </c>
    </row>
    <row r="11" spans="1:4">
      <c r="A11" s="7" t="s">
        <v>26</v>
      </c>
      <c r="B11" s="7"/>
      <c r="C11">
        <v>1084</v>
      </c>
      <c r="D11">
        <v>3.61333333333333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D1" workbookViewId="0">
      <selection activeCell="D5" sqref="D5"/>
    </sheetView>
  </sheetViews>
  <sheetFormatPr defaultColWidth="9.14285714285714" defaultRowHeight="15" outlineLevelCol="3"/>
  <cols>
    <col min="2" max="2" width="9.42857142857143"/>
    <col min="3" max="3" width="16.4285714285714"/>
    <col min="4" max="4" width="16.4285714285714" style="6"/>
  </cols>
  <sheetData>
    <row r="1" spans="1:4">
      <c r="A1" t="s">
        <v>1</v>
      </c>
      <c r="B1" t="s">
        <v>28</v>
      </c>
    </row>
    <row r="3" spans="1:4">
      <c r="A3" s="7" t="s">
        <v>7</v>
      </c>
      <c r="B3" s="7" t="s">
        <v>9</v>
      </c>
      <c r="C3" s="8" t="s">
        <v>25</v>
      </c>
      <c r="D3" s="8" t="s">
        <v>27</v>
      </c>
    </row>
    <row r="4" spans="1:4">
      <c r="A4" s="7" t="s">
        <v>16</v>
      </c>
      <c r="B4" s="7"/>
      <c r="C4">
        <v>135</v>
      </c>
      <c r="D4">
        <v>0.45</v>
      </c>
    </row>
    <row r="5" spans="1:4">
      <c r="A5" s="7"/>
      <c r="B5" s="7" t="s">
        <v>17</v>
      </c>
      <c r="C5">
        <v>135</v>
      </c>
      <c r="D5">
        <v>0.45</v>
      </c>
    </row>
    <row r="6" spans="1:4">
      <c r="A6" s="7" t="s">
        <v>12</v>
      </c>
      <c r="B6" s="7"/>
      <c r="C6">
        <v>949</v>
      </c>
      <c r="D6">
        <v>3.16333333333333</v>
      </c>
    </row>
    <row r="7" spans="1:4">
      <c r="A7" s="7"/>
      <c r="B7" s="7" t="s">
        <v>13</v>
      </c>
      <c r="C7">
        <v>283</v>
      </c>
      <c r="D7">
        <v>0.943333333333333</v>
      </c>
    </row>
    <row r="8" spans="1:4">
      <c r="A8" s="7"/>
      <c r="B8" s="7" t="s">
        <v>24</v>
      </c>
      <c r="C8">
        <v>253</v>
      </c>
      <c r="D8">
        <v>0.843333333333333</v>
      </c>
    </row>
    <row r="9" spans="1:4">
      <c r="A9" s="7"/>
      <c r="B9" s="7" t="s">
        <v>22</v>
      </c>
      <c r="C9">
        <v>233</v>
      </c>
      <c r="D9">
        <v>0.776666666666667</v>
      </c>
    </row>
    <row r="10" spans="1:4">
      <c r="A10" s="7"/>
      <c r="B10" s="7" t="s">
        <v>20</v>
      </c>
      <c r="C10">
        <v>180</v>
      </c>
      <c r="D10">
        <v>0.6</v>
      </c>
    </row>
    <row r="11" spans="1:4">
      <c r="A11" s="7" t="s">
        <v>26</v>
      </c>
      <c r="B11" s="7"/>
      <c r="C11">
        <v>1084</v>
      </c>
      <c r="D11">
        <v>3.61333333333333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40" zoomScaleNormal="40" workbookViewId="0">
      <selection activeCell="A8" sqref="A8"/>
    </sheetView>
  </sheetViews>
  <sheetFormatPr defaultColWidth="9.14285714285714" defaultRowHeight="15"/>
  <cols>
    <col min="1" max="1" width="27.7142857142857" customWidth="1"/>
    <col min="2" max="2" width="15.5714285714286" customWidth="1"/>
    <col min="3" max="3" width="20.5714285714286" customWidth="1"/>
    <col min="11" max="11" width="54.7142857142857" customWidth="1"/>
    <col min="12" max="12" width="20.2857142857143" customWidth="1"/>
  </cols>
  <sheetData>
    <row r="1" ht="26.25" spans="1:11">
      <c r="K1" s="1" t="s">
        <v>29</v>
      </c>
    </row>
    <row r="3" ht="28.5" spans="1:11">
      <c r="A3" s="2" t="s">
        <v>30</v>
      </c>
      <c r="C3" s="3" t="s">
        <v>31</v>
      </c>
      <c r="K3" s="4" t="s">
        <v>32</v>
      </c>
    </row>
    <row r="4" ht="31.5" spans="1:11">
      <c r="A4" s="5">
        <f>AVERAGE(student_data!G:G)</f>
        <v>216.8</v>
      </c>
      <c r="C4" s="5">
        <f>MAX(student_data!G:G)</f>
        <v>283</v>
      </c>
    </row>
    <row r="6" ht="28.5" spans="1:11">
      <c r="A6" s="3" t="s">
        <v>33</v>
      </c>
      <c r="C6" s="3" t="s">
        <v>34</v>
      </c>
    </row>
    <row r="7" ht="31.5" spans="1:11">
      <c r="A7" s="5">
        <f>MIN(student_data!G:G)</f>
        <v>135</v>
      </c>
      <c r="C7" s="5">
        <f>COUNTA(student_data!G:G)</f>
        <v>6</v>
      </c>
    </row>
    <row r="9" ht="28.5" spans="1:11">
      <c r="B9" s="3" t="s">
        <v>35</v>
      </c>
    </row>
    <row r="10" ht="31.5" spans="1:11">
      <c r="B10" s="5">
        <f>MEDIAN(student_data!G:G)</f>
        <v>233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student_data</vt:lpstr>
      <vt:lpstr>subject  &amp; total</vt:lpstr>
      <vt:lpstr>department &amp; total</vt:lpstr>
      <vt:lpstr>name &amp; pass rate</vt:lpstr>
      <vt:lpstr>Ahmed (2)</vt:lpstr>
      <vt:lpstr>Mona (2)</vt:lpstr>
      <vt:lpstr>Omar (2)</vt:lpstr>
      <vt:lpstr>Sara (2)</vt:lpstr>
      <vt:lpstr>Youssef (2)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krkr</dc:creator>
  <cp:lastModifiedBy>krkr</cp:lastModifiedBy>
  <dcterms:created xsi:type="dcterms:W3CDTF">2026-04-24T21:29:00Z</dcterms:created>
  <dcterms:modified xsi:type="dcterms:W3CDTF">2026-04-25T16:49:46Z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900D041905144F9F8C10C4002E7A6E75_11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